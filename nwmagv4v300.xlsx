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filterPrivacy="1" codeName="ThisWorkbook" defaultThemeVersion="124226"/>
  <xr:revisionPtr revIDLastSave="0" documentId="13_ncr:1_{4A47C228-F517-4E99-839E-62DE7A9F5DCD}" xr6:coauthVersionLast="45" xr6:coauthVersionMax="45" xr10:uidLastSave="{00000000-0000-0000-0000-000000000000}"/>
  <bookViews>
    <workbookView xWindow="-120" yWindow="-120" windowWidth="38640" windowHeight="21240" activeTab="1" xr2:uid="{00000000-000D-0000-FFFF-FFFF00000000}"/>
  </bookViews>
  <sheets>
    <sheet name="メイン" sheetId="1" r:id="rId1"/>
    <sheet name="テンプレ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12" i="5" l="1"/>
  <c r="G11" i="5"/>
  <c r="D11" i="5"/>
  <c r="D4" i="5" l="1"/>
  <c r="S46" i="5" l="1"/>
  <c r="Q46" i="5"/>
  <c r="M46" i="5"/>
  <c r="S45" i="5"/>
  <c r="Q45" i="5"/>
  <c r="M45" i="5"/>
  <c r="S44" i="5"/>
  <c r="Q44" i="5"/>
  <c r="M44" i="5"/>
  <c r="S43" i="5"/>
  <c r="Q43" i="5"/>
  <c r="M43" i="5"/>
  <c r="S42" i="5"/>
  <c r="Q42" i="5"/>
  <c r="M42" i="5"/>
  <c r="S41" i="5"/>
  <c r="Q41" i="5"/>
  <c r="M41" i="5"/>
  <c r="S40" i="5"/>
  <c r="Q40" i="5"/>
  <c r="M40" i="5"/>
  <c r="S39" i="5"/>
  <c r="Q39" i="5"/>
  <c r="M39" i="5"/>
  <c r="S38" i="5"/>
  <c r="Q38" i="5"/>
  <c r="M38" i="5"/>
  <c r="S37" i="5"/>
  <c r="Q37" i="5"/>
  <c r="M37" i="5"/>
  <c r="S36" i="5"/>
  <c r="Q36" i="5"/>
  <c r="M36" i="5"/>
  <c r="S35" i="5"/>
  <c r="Q35" i="5"/>
  <c r="M35" i="5"/>
  <c r="S34" i="5"/>
  <c r="Q34" i="5"/>
  <c r="M34" i="5"/>
  <c r="S33" i="5"/>
  <c r="Q33" i="5"/>
  <c r="M33" i="5"/>
  <c r="S32" i="5"/>
  <c r="Q32" i="5"/>
  <c r="M32" i="5"/>
  <c r="L28" i="5"/>
  <c r="H28" i="5"/>
  <c r="L27" i="5"/>
  <c r="H27" i="5"/>
  <c r="L26" i="5"/>
  <c r="H26" i="5"/>
  <c r="L25" i="5"/>
  <c r="H25" i="5"/>
  <c r="L24" i="5"/>
  <c r="H24" i="5"/>
  <c r="L23" i="5"/>
  <c r="H23" i="5"/>
  <c r="L22" i="5"/>
  <c r="H22" i="5"/>
  <c r="L21" i="5"/>
  <c r="H21" i="5"/>
  <c r="L20" i="5"/>
  <c r="H20" i="5"/>
  <c r="L19" i="5"/>
  <c r="H19" i="5"/>
  <c r="L18" i="5"/>
  <c r="H18" i="5"/>
  <c r="L17" i="5"/>
  <c r="H17" i="5"/>
  <c r="L16" i="5"/>
  <c r="H16" i="5"/>
  <c r="L15" i="5"/>
  <c r="H15" i="5"/>
  <c r="L14" i="5"/>
  <c r="H14" i="5"/>
  <c r="L13" i="5"/>
  <c r="H13" i="5"/>
  <c r="L12" i="5"/>
  <c r="D13" i="5" s="1"/>
  <c r="H12" i="5"/>
  <c r="L11" i="5"/>
  <c r="H11" i="5"/>
  <c r="L6" i="5"/>
  <c r="H6" i="5"/>
  <c r="D6" i="5"/>
  <c r="G6" i="5" s="1"/>
  <c r="L5" i="5"/>
  <c r="H5" i="5"/>
  <c r="D5" i="5"/>
  <c r="G5" i="5" s="1"/>
  <c r="L4" i="5"/>
  <c r="H4" i="5"/>
  <c r="G4" i="5"/>
  <c r="C1" i="5"/>
  <c r="D14" i="5" l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F5" i="5"/>
  <c r="F6" i="5"/>
  <c r="F4" i="5"/>
  <c r="F11" i="5"/>
  <c r="F28" i="5" l="1"/>
  <c r="G26" i="5"/>
  <c r="F23" i="5"/>
  <c r="F21" i="5"/>
  <c r="F27" i="5"/>
  <c r="G13" i="5"/>
  <c r="G19" i="5"/>
  <c r="G20" i="5"/>
  <c r="G24" i="5"/>
  <c r="G14" i="5"/>
  <c r="F17" i="5"/>
  <c r="F13" i="5"/>
  <c r="G28" i="5"/>
  <c r="F15" i="5"/>
  <c r="F26" i="5"/>
  <c r="F16" i="5"/>
  <c r="G21" i="5"/>
  <c r="F24" i="5"/>
  <c r="G23" i="5"/>
  <c r="F19" i="5"/>
  <c r="G27" i="5"/>
  <c r="G25" i="5"/>
  <c r="G16" i="5"/>
  <c r="F22" i="5"/>
  <c r="G15" i="5"/>
  <c r="F25" i="5"/>
  <c r="G18" i="5"/>
  <c r="F14" i="5"/>
  <c r="G22" i="5"/>
  <c r="F18" i="5"/>
  <c r="F20" i="5"/>
  <c r="G17" i="5"/>
  <c r="G12" i="5"/>
  <c r="F12" i="5"/>
</calcChain>
</file>

<file path=xl/sharedStrings.xml><?xml version="1.0" encoding="utf-8"?>
<sst xmlns="http://schemas.openxmlformats.org/spreadsheetml/2006/main" count="118" uniqueCount="37">
  <si>
    <t>ネットワーク割当表</t>
    <rPh sb="6" eb="8">
      <t>ワリアテ</t>
    </rPh>
    <rPh sb="8" eb="9">
      <t>ヒョウ</t>
    </rPh>
    <phoneticPr fontId="1"/>
  </si>
  <si>
    <t>機器別分類表</t>
    <rPh sb="0" eb="2">
      <t>キキ</t>
    </rPh>
    <rPh sb="2" eb="3">
      <t>ベツ</t>
    </rPh>
    <rPh sb="3" eb="5">
      <t>ブンルイ</t>
    </rPh>
    <rPh sb="5" eb="6">
      <t>ヒョウ</t>
    </rPh>
    <phoneticPr fontId="1"/>
  </si>
  <si>
    <t>大分類</t>
    <rPh sb="0" eb="3">
      <t>ダイブンルイ</t>
    </rPh>
    <phoneticPr fontId="1"/>
  </si>
  <si>
    <t>小分類</t>
    <rPh sb="0" eb="3">
      <t>ショウブンルイ</t>
    </rPh>
    <phoneticPr fontId="1"/>
  </si>
  <si>
    <t>IPアドレス</t>
    <phoneticPr fontId="1"/>
  </si>
  <si>
    <t>開始IP</t>
    <rPh sb="0" eb="2">
      <t>カイシ</t>
    </rPh>
    <phoneticPr fontId="1"/>
  </si>
  <si>
    <t>終了IP</t>
    <rPh sb="0" eb="2">
      <t>シュウリョウ</t>
    </rPh>
    <phoneticPr fontId="1"/>
  </si>
  <si>
    <t>管理用</t>
    <rPh sb="0" eb="3">
      <t>カンリヨウ</t>
    </rPh>
    <phoneticPr fontId="1"/>
  </si>
  <si>
    <t>マスク</t>
    <phoneticPr fontId="1"/>
  </si>
  <si>
    <t>分野</t>
    <rPh sb="0" eb="2">
      <t>ブンヤ</t>
    </rPh>
    <phoneticPr fontId="1"/>
  </si>
  <si>
    <t>IP個数</t>
    <rPh sb="2" eb="4">
      <t>コスウ</t>
    </rPh>
    <phoneticPr fontId="1"/>
  </si>
  <si>
    <t>種別</t>
    <rPh sb="0" eb="2">
      <t>シュベツ</t>
    </rPh>
    <phoneticPr fontId="1"/>
  </si>
  <si>
    <t>セグメント管理表</t>
    <rPh sb="5" eb="7">
      <t>カンリ</t>
    </rPh>
    <rPh sb="7" eb="8">
      <t>ヒョウ</t>
    </rPh>
    <phoneticPr fontId="1"/>
  </si>
  <si>
    <t>VLAN ID</t>
    <phoneticPr fontId="1"/>
  </si>
  <si>
    <t>説明</t>
    <rPh sb="0" eb="2">
      <t>セツメイ</t>
    </rPh>
    <phoneticPr fontId="1"/>
  </si>
  <si>
    <t>所属</t>
    <rPh sb="0" eb="2">
      <t>ショゾク</t>
    </rPh>
    <phoneticPr fontId="1"/>
  </si>
  <si>
    <t>備考</t>
    <rPh sb="0" eb="2">
      <t>ビコウ</t>
    </rPh>
    <phoneticPr fontId="1"/>
  </si>
  <si>
    <t>場所</t>
    <rPh sb="0" eb="2">
      <t>バショ</t>
    </rPh>
    <phoneticPr fontId="1"/>
  </si>
  <si>
    <t>esxcfg-vswitch --add-pg=</t>
    <phoneticPr fontId="1"/>
  </si>
  <si>
    <t>esxcfg-vswitch --vlan=</t>
    <phoneticPr fontId="1"/>
  </si>
  <si>
    <t xml:space="preserve"> vSwitch0</t>
    <phoneticPr fontId="1"/>
  </si>
  <si>
    <t xml:space="preserve"> --pg=</t>
    <phoneticPr fontId="1"/>
  </si>
  <si>
    <t>エリアナンバー</t>
    <phoneticPr fontId="1"/>
  </si>
  <si>
    <t>.</t>
    <phoneticPr fontId="1"/>
  </si>
  <si>
    <t>機能一覧</t>
    <rPh sb="0" eb="2">
      <t>キノウ</t>
    </rPh>
    <rPh sb="2" eb="4">
      <t>イチラン</t>
    </rPh>
    <phoneticPr fontId="1"/>
  </si>
  <si>
    <t>ExcelIPMI</t>
    <phoneticPr fontId="1"/>
  </si>
  <si>
    <t>ネットワーク割当表</t>
    <rPh sb="6" eb="7">
      <t>ワ</t>
    </rPh>
    <rPh sb="7" eb="8">
      <t>ア</t>
    </rPh>
    <rPh sb="8" eb="9">
      <t>ヒョウ</t>
    </rPh>
    <phoneticPr fontId="1"/>
  </si>
  <si>
    <t>ネットワークマネージャー</t>
    <phoneticPr fontId="1"/>
  </si>
  <si>
    <t>更新履歴（直近10件）</t>
    <rPh sb="0" eb="2">
      <t>コウシン</t>
    </rPh>
    <rPh sb="2" eb="4">
      <t>リレキ</t>
    </rPh>
    <rPh sb="5" eb="7">
      <t>チョッキン</t>
    </rPh>
    <rPh sb="9" eb="10">
      <t>ケン</t>
    </rPh>
    <phoneticPr fontId="1"/>
  </si>
  <si>
    <t>現行Ver</t>
    <rPh sb="0" eb="2">
      <t>ゲンコウ</t>
    </rPh>
    <phoneticPr fontId="1"/>
  </si>
  <si>
    <t>v1.00</t>
    <phoneticPr fontId="1"/>
  </si>
  <si>
    <t>テンプレ</t>
    <phoneticPr fontId="1"/>
  </si>
  <si>
    <t>ESXi(6.0以降)向けコンフィグ</t>
    <rPh sb="8" eb="10">
      <t>イコウ</t>
    </rPh>
    <rPh sb="11" eb="12">
      <t>ム</t>
    </rPh>
    <phoneticPr fontId="1"/>
  </si>
  <si>
    <t>v3.00</t>
    <phoneticPr fontId="1"/>
  </si>
  <si>
    <t>Version 2020.07</t>
    <phoneticPr fontId="1"/>
  </si>
  <si>
    <t>IPv4アドレスを指定した場合、次のセルに候補となるIPアドレスを表示する機能を追加</t>
    <rPh sb="9" eb="11">
      <t>シテイ</t>
    </rPh>
    <rPh sb="13" eb="15">
      <t>バアイ</t>
    </rPh>
    <rPh sb="16" eb="17">
      <t>ツギ</t>
    </rPh>
    <rPh sb="21" eb="23">
      <t>コウホ</t>
    </rPh>
    <rPh sb="33" eb="35">
      <t>ヒョウジ</t>
    </rPh>
    <rPh sb="37" eb="39">
      <t>キノウ</t>
    </rPh>
    <rPh sb="40" eb="42">
      <t>ツイカ</t>
    </rPh>
    <phoneticPr fontId="1"/>
  </si>
  <si>
    <t>VLAN入力時表示される設定例にESXiの例を追加</t>
    <rPh sb="4" eb="7">
      <t>ニュウリョクジ</t>
    </rPh>
    <rPh sb="7" eb="9">
      <t>ヒョウジ</t>
    </rPh>
    <rPh sb="12" eb="14">
      <t>セッテイ</t>
    </rPh>
    <rPh sb="14" eb="15">
      <t>レイ</t>
    </rPh>
    <rPh sb="21" eb="22">
      <t>レイ</t>
    </rPh>
    <rPh sb="23" eb="25">
      <t>ツイカ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</si>
</sst>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8"/>
      <color theme="1"/>
      <name val="ＭＳ Ｐゴシック"/>
      <family val="2"/>
      <scheme val="minor"/>
    </font>
    <font>
      <sz val="18"/>
      <color theme="1"/>
      <name val="ＭＳ Ｐゴシック"/>
      <family val="3"/>
      <charset val="128"/>
      <scheme val="minor"/>
    </font>
    <font>
      <sz val="24"/>
      <color theme="1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Fill="1" applyBorder="1"/>
    <xf numFmtId="0" fontId="0" fillId="0" borderId="5" xfId="0" applyFill="1" applyBorder="1"/>
    <xf numFmtId="0" fontId="0" fillId="0" borderId="5" xfId="0" applyFill="1" applyBorder="1" applyAlignment="1">
      <alignment horizontal="center"/>
    </xf>
    <xf numFmtId="0" fontId="0" fillId="0" borderId="3" xfId="0" applyFill="1" applyBorder="1"/>
    <xf numFmtId="0" fontId="0" fillId="0" borderId="0" xfId="0" applyFill="1" applyBorder="1" applyAlignment="1"/>
    <xf numFmtId="0" fontId="0" fillId="0" borderId="1" xfId="0" applyFill="1" applyBorder="1"/>
    <xf numFmtId="0" fontId="0" fillId="0" borderId="2" xfId="0" applyFill="1" applyBorder="1"/>
    <xf numFmtId="0" fontId="4" fillId="0" borderId="0" xfId="0" applyFont="1"/>
    <xf numFmtId="0" fontId="4" fillId="0" borderId="0" xfId="0" applyFont="1" applyAlignment="1"/>
    <xf numFmtId="0" fontId="0" fillId="0" borderId="0" xfId="0" applyFill="1"/>
    <xf numFmtId="0" fontId="0" fillId="0" borderId="2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0" xfId="0" quotePrefix="1" applyFill="1"/>
    <xf numFmtId="0" fontId="0" fillId="0" borderId="0" xfId="0" applyFill="1" applyAlignment="1">
      <alignment horizontal="center"/>
    </xf>
    <xf numFmtId="0" fontId="0" fillId="0" borderId="0" xfId="0" applyFill="1" applyAlignment="1">
      <alignment horizontal="center"/>
    </xf>
    <xf numFmtId="0" fontId="0" fillId="0" borderId="13" xfId="0" applyFill="1" applyBorder="1" applyAlignment="1"/>
    <xf numFmtId="0" fontId="0" fillId="0" borderId="15" xfId="0" applyFill="1" applyBorder="1" applyAlignment="1"/>
    <xf numFmtId="0" fontId="0" fillId="0" borderId="14" xfId="0" applyFill="1" applyBorder="1" applyAlignment="1"/>
    <xf numFmtId="0" fontId="0" fillId="0" borderId="13" xfId="0" applyFill="1" applyBorder="1"/>
    <xf numFmtId="0" fontId="0" fillId="0" borderId="14" xfId="0" applyFill="1" applyBorder="1"/>
    <xf numFmtId="0" fontId="0" fillId="0" borderId="15" xfId="0" applyFill="1" applyBorder="1"/>
    <xf numFmtId="0" fontId="0" fillId="0" borderId="7" xfId="0" applyFill="1" applyBorder="1" applyAlignment="1"/>
    <xf numFmtId="0" fontId="0" fillId="0" borderId="8" xfId="0" applyFill="1" applyBorder="1" applyAlignment="1"/>
    <xf numFmtId="0" fontId="0" fillId="0" borderId="9" xfId="0" applyFill="1" applyBorder="1" applyAlignment="1"/>
    <xf numFmtId="0" fontId="2" fillId="0" borderId="0" xfId="0" applyFont="1" applyFill="1"/>
    <xf numFmtId="0" fontId="3" fillId="0" borderId="0" xfId="0" applyFont="1" applyFill="1"/>
    <xf numFmtId="0" fontId="0" fillId="0" borderId="1" xfId="0" applyFill="1" applyBorder="1" applyAlignment="1">
      <alignment horizontal="center"/>
    </xf>
    <xf numFmtId="0" fontId="0" fillId="0" borderId="4" xfId="0" applyFill="1" applyBorder="1"/>
    <xf numFmtId="0" fontId="0" fillId="0" borderId="6" xfId="0" applyFill="1" applyBorder="1"/>
    <xf numFmtId="0" fontId="0" fillId="0" borderId="10" xfId="0" applyFill="1" applyBorder="1" applyAlignment="1"/>
    <xf numFmtId="0" fontId="0" fillId="0" borderId="12" xfId="0" applyFill="1" applyBorder="1" applyAlignment="1"/>
    <xf numFmtId="0" fontId="0" fillId="0" borderId="11" xfId="0" applyFill="1" applyBorder="1" applyAlignment="1"/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17"/>
  <sheetViews>
    <sheetView workbookViewId="0">
      <selection activeCell="D17" sqref="D17"/>
    </sheetView>
  </sheetViews>
  <sheetFormatPr defaultColWidth="9.625" defaultRowHeight="13.5" x14ac:dyDescent="0.15"/>
  <sheetData>
    <row r="1" spans="1:8" ht="47.25" customHeight="1" x14ac:dyDescent="0.3">
      <c r="A1" s="9" t="s">
        <v>27</v>
      </c>
      <c r="B1" s="9"/>
      <c r="C1" s="9"/>
      <c r="H1" s="8" t="s">
        <v>34</v>
      </c>
    </row>
    <row r="4" spans="1:8" x14ac:dyDescent="0.15">
      <c r="B4" t="s">
        <v>28</v>
      </c>
    </row>
    <row r="5" spans="1:8" x14ac:dyDescent="0.15">
      <c r="B5" t="s">
        <v>35</v>
      </c>
    </row>
    <row r="6" spans="1:8" x14ac:dyDescent="0.15">
      <c r="B6" t="s">
        <v>36</v>
      </c>
    </row>
    <row r="15" spans="1:8" x14ac:dyDescent="0.15">
      <c r="B15" t="s">
        <v>24</v>
      </c>
      <c r="D15" t="s">
        <v>29</v>
      </c>
    </row>
    <row r="16" spans="1:8" x14ac:dyDescent="0.15">
      <c r="B16" t="s">
        <v>25</v>
      </c>
      <c r="D16" t="s">
        <v>30</v>
      </c>
    </row>
    <row r="17" spans="2:4" x14ac:dyDescent="0.15">
      <c r="B17" t="s">
        <v>26</v>
      </c>
      <c r="D17" t="s">
        <v>33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F38D8-A151-47AE-9C7E-896E80AE000E}">
  <dimension ref="A1:T51"/>
  <sheetViews>
    <sheetView tabSelected="1" zoomScale="160" zoomScaleNormal="160" workbookViewId="0">
      <selection activeCell="H23" sqref="H23"/>
    </sheetView>
  </sheetViews>
  <sheetFormatPr defaultRowHeight="13.5" x14ac:dyDescent="0.15"/>
  <cols>
    <col min="1" max="1" width="13" style="10" bestFit="1" customWidth="1"/>
    <col min="2" max="2" width="14.625" style="10" bestFit="1" customWidth="1"/>
    <col min="3" max="3" width="5.25" style="10" bestFit="1" customWidth="1"/>
    <col min="4" max="4" width="14" style="10" bestFit="1" customWidth="1"/>
    <col min="5" max="5" width="6.5" style="10" bestFit="1" customWidth="1"/>
    <col min="6" max="6" width="10.625" style="10" customWidth="1"/>
    <col min="7" max="7" width="12.875" style="10" bestFit="1" customWidth="1"/>
    <col min="8" max="8" width="13.5" style="10" bestFit="1" customWidth="1"/>
    <col min="9" max="9" width="5.25" style="10" bestFit="1" customWidth="1"/>
    <col min="10" max="10" width="4.5" style="10" bestFit="1" customWidth="1"/>
    <col min="11" max="11" width="9" style="10"/>
    <col min="12" max="12" width="24.125" style="10" bestFit="1" customWidth="1"/>
    <col min="13" max="13" width="2.5" style="10" bestFit="1" customWidth="1"/>
    <col min="14" max="14" width="9.375" style="10" bestFit="1" customWidth="1"/>
    <col min="15" max="15" width="9" style="10"/>
    <col min="16" max="16" width="21.625" style="10" bestFit="1" customWidth="1"/>
    <col min="17" max="17" width="2.5" style="10" bestFit="1" customWidth="1"/>
    <col min="18" max="18" width="6.875" style="10" bestFit="1" customWidth="1"/>
    <col min="19" max="19" width="2.5" style="10" bestFit="1" customWidth="1"/>
    <col min="20" max="20" width="9.375" style="10" bestFit="1" customWidth="1"/>
    <col min="21" max="16384" width="9" style="10"/>
  </cols>
  <sheetData>
    <row r="1" spans="1:12" ht="21" x14ac:dyDescent="0.2">
      <c r="A1" s="25" t="s">
        <v>0</v>
      </c>
      <c r="B1" s="26"/>
      <c r="C1" s="25" t="str">
        <f>メイン!$D$17</f>
        <v>v3.00</v>
      </c>
      <c r="D1" s="26"/>
      <c r="E1" s="10" t="s">
        <v>17</v>
      </c>
      <c r="F1" s="10" t="s">
        <v>31</v>
      </c>
      <c r="H1" s="10" t="s">
        <v>22</v>
      </c>
      <c r="J1" s="10">
        <v>201</v>
      </c>
    </row>
    <row r="2" spans="1:12" ht="14.25" thickBot="1" x14ac:dyDescent="0.2">
      <c r="J2" s="10" t="s">
        <v>23</v>
      </c>
    </row>
    <row r="3" spans="1:12" ht="14.25" thickBot="1" x14ac:dyDescent="0.2">
      <c r="B3" s="28" t="s">
        <v>12</v>
      </c>
      <c r="C3" s="29"/>
      <c r="D3" s="2" t="s">
        <v>4</v>
      </c>
      <c r="E3" s="2" t="s">
        <v>8</v>
      </c>
      <c r="F3" s="2" t="s">
        <v>5</v>
      </c>
      <c r="G3" s="2" t="s">
        <v>6</v>
      </c>
      <c r="H3" s="2" t="s">
        <v>10</v>
      </c>
      <c r="L3" s="10" t="s">
        <v>7</v>
      </c>
    </row>
    <row r="4" spans="1:12" x14ac:dyDescent="0.15">
      <c r="B4" s="27"/>
      <c r="C4" s="27"/>
      <c r="D4" s="11" t="str">
        <f>"10."&amp;J1&amp;".20.0"</f>
        <v>10.201.20.0</v>
      </c>
      <c r="E4" s="11">
        <v>18</v>
      </c>
      <c r="F4" s="11" t="str">
        <f>IF(L4&lt;&gt;"",_xlfn.BITAND(VALUE(LEFT(D4,SEARCH(".",D4,1)-1)),VALUE(LEFT(L4,SEARCH(".",L4,1)-1)))&amp;"."&amp;
_xlfn.BITAND(VALUE(MID(D4,SEARCH(".",D4,1)+1,SEARCH(".",D4,SEARCH(".",D4,1)+1)-SEARCH(".",D4,1)-1)),VALUE(MID(L4,SEARCH(".",L4,1)+1,SEARCH(".",L4,SEARCH(".",L4,1)+1)-SEARCH(".",L4,1)-1)))&amp;"."&amp;
_xlfn.BITAND(VALUE(MID(D4,SEARCH(".",D4,SEARCH(".",D4,1)+1)+1,SEARCH(".",D4,SEARCH(".",D4,SEARCH(".",D4,1)+1)+1)-SEARCH(".",D4,SEARCH(".",D4,1)+1)-1)),VALUE(MID(L4,SEARCH(".",L4,SEARCH(".",L4,1)+1)+1,SEARCH(".",L4,SEARCH(".",L4,SEARCH(".",L4,1)+1)+1)-SEARCH(".",L4,SEARCH(".",L4,1)+1)-1)))&amp;"."&amp;
_xlfn.BITAND(VALUE(RIGHT(D4,LEN(D4)-SEARCH(".",D4,SEARCH(".",D4,SEARCH(".",D4,1)+1)+1))),VALUE(RIGHT(L4,LEN(L4)-SEARCH(".",L4,SEARCH(".",L4,SEARCH(".",L4,1)+1)+1)))),"")</f>
        <v>10.201.0.0</v>
      </c>
      <c r="G4" s="11" t="str">
        <f>IF(L4&lt;&gt;"",_xlfn.BITOR(VALUE(LEFT(D4,SEARCH(".",D4,1)-1)),_xlfn.BITXOR(VALUE(LEFT(L4,SEARCH(".",L4,1)-1)),255))&amp;"."&amp;
_xlfn.BITOR(VALUE(MID(D4,SEARCH(".",D4,1)+1,SEARCH(".",D4,SEARCH(".",D4,1)+1)-SEARCH(".",D4,1)-1)),_xlfn.BITXOR(VALUE(MID(L4,SEARCH(".",L4,1)+1,SEARCH(".",L4,SEARCH(".",L4,1)+1)-SEARCH(".",L4,1)-1)),255))&amp;"."&amp;
_xlfn.BITOR(VALUE(MID(D4,SEARCH(".",D4,SEARCH(".",D4,1)+1)+1,SEARCH(".",D4,SEARCH(".",D4,SEARCH(".",D4,1)+1)+1)-SEARCH(".",D4,SEARCH(".",D4,1)+1)-1)),_xlfn.BITXOR(VALUE(MID(L4,SEARCH(".",L4,SEARCH(".",L4,1)+1)+1,SEARCH(".",L4,SEARCH(".",L4,SEARCH(".",L4,1)+1)+1)-SEARCH(".",L4,SEARCH(".",L4,1)+1)-1)),255))&amp;"."&amp;
_xlfn.BITOR(VALUE(RIGHT(D4,LEN(D4)-SEARCH(".",D4,SEARCH(".",D4,SEARCH(".",D4,1)+1)+1))),_xlfn.BITXOR(VALUE(RIGHT(L4,LEN(L4)-SEARCH(".",L4,SEARCH(".",L4,SEARCH(".",L4,1)+1)+1))),255)),"")</f>
        <v>10.201.63.255</v>
      </c>
      <c r="H4" s="11">
        <f>IF(E4&lt;&gt;0,2^(32-E4),"")</f>
        <v>16384</v>
      </c>
      <c r="L4" s="10" t="str">
        <f>IF(E4=1,"128.0.0.0",IF(E4=2,"192.0.0.0",IF(E4=3,"224.0.0.0",IF(E4=4,"240.0.0.0",IF(E4=5,"248.0.0.0",IF(E4=6,"252.0.0.0",IF(E4=7,"254.0.0.0",IF(E4=8,"255.0.0.0",IF(E4=9,"255.128.0.0",IF(E4=10,"255.192.0.0",IF(E4=11,"255.224.0.0",IF(E4=12,"255.240.0.0",IF(E4=13,"255.248.0.0",IF(E4=14,"255.252.0.0",IF(E4=15,"255.254.0.0",IF(E4=16,"255.255.0.0",IF(E4=17,"255.255.128.0",IF(E4=18,"255.255.192.0",IF(E4=19,"255.255.224.0",IF(E4=20,"255.255.240.0",IF(E4=21,"255.255.248.0",IF(E4=22,"255.255.252.0",IF(E4=23,"255.255.254.0",IF(E4=24,"255.255.255.0",IF(E4=25,"255.255.255.128",IF(E4=26,"255.255.255.192",IF(E4=27,"255.255.255.224",IF(E4=28,"255.255.255.240",IF(E4=29,"255.255.255.248",IF(E4=30,"255.255.255.252",IF(E4=31,"255.255.255.254",IF(E4=32,"255.255.255.255",""))))))))))))))))))))))))))))))))</f>
        <v>255.255.192.0</v>
      </c>
    </row>
    <row r="5" spans="1:12" x14ac:dyDescent="0.15">
      <c r="B5" s="27"/>
      <c r="C5" s="27"/>
      <c r="D5" s="11" t="str">
        <f>"10."&amp;J1&amp;".56.0"</f>
        <v>10.201.56.0</v>
      </c>
      <c r="E5" s="11">
        <v>21</v>
      </c>
      <c r="F5" s="11" t="str">
        <f>IF(L5&lt;&gt;"",_xlfn.BITAND(VALUE(LEFT(D5,SEARCH(".",D5,1)-1)),VALUE(LEFT(L5,SEARCH(".",L5,1)-1)))&amp;"."&amp;
_xlfn.BITAND(VALUE(MID(D5,SEARCH(".",D5,1)+1,SEARCH(".",D5,SEARCH(".",D5,1)+1)-SEARCH(".",D5,1)-1)),VALUE(MID(L5,SEARCH(".",L5,1)+1,SEARCH(".",L5,SEARCH(".",L5,1)+1)-SEARCH(".",L5,1)-1)))&amp;"."&amp;
_xlfn.BITAND(VALUE(MID(D5,SEARCH(".",D5,SEARCH(".",D5,1)+1)+1,SEARCH(".",D5,SEARCH(".",D5,SEARCH(".",D5,1)+1)+1)-SEARCH(".",D5,SEARCH(".",D5,1)+1)-1)),VALUE(MID(L5,SEARCH(".",L5,SEARCH(".",L5,1)+1)+1,SEARCH(".",L5,SEARCH(".",L5,SEARCH(".",L5,1)+1)+1)-SEARCH(".",L5,SEARCH(".",L5,1)+1)-1)))&amp;"."&amp;
_xlfn.BITAND(VALUE(RIGHT(D5,LEN(D5)-SEARCH(".",D5,SEARCH(".",D5,SEARCH(".",D5,1)+1)+1))),VALUE(RIGHT(L5,LEN(L5)-SEARCH(".",L5,SEARCH(".",L5,SEARCH(".",L5,1)+1)+1)))),"")</f>
        <v>10.201.56.0</v>
      </c>
      <c r="G5" s="11" t="str">
        <f>IF(L5&lt;&gt;"",_xlfn.BITOR(VALUE(LEFT(D5,SEARCH(".",D5,1)-1)),_xlfn.BITXOR(VALUE(LEFT(L5,SEARCH(".",L5,1)-1)),255))&amp;"."&amp;
_xlfn.BITOR(VALUE(MID(D5,SEARCH(".",D5,1)+1,SEARCH(".",D5,SEARCH(".",D5,1)+1)-SEARCH(".",D5,1)-1)),_xlfn.BITXOR(VALUE(MID(L5,SEARCH(".",L5,1)+1,SEARCH(".",L5,SEARCH(".",L5,1)+1)-SEARCH(".",L5,1)-1)),255))&amp;"."&amp;
_xlfn.BITOR(VALUE(MID(D5,SEARCH(".",D5,SEARCH(".",D5,1)+1)+1,SEARCH(".",D5,SEARCH(".",D5,SEARCH(".",D5,1)+1)+1)-SEARCH(".",D5,SEARCH(".",D5,1)+1)-1)),_xlfn.BITXOR(VALUE(MID(L5,SEARCH(".",L5,SEARCH(".",L5,1)+1)+1,SEARCH(".",L5,SEARCH(".",L5,SEARCH(".",L5,1)+1)+1)-SEARCH(".",L5,SEARCH(".",L5,1)+1)-1)),255))&amp;"."&amp;
_xlfn.BITOR(VALUE(RIGHT(D5,LEN(D5)-SEARCH(".",D5,SEARCH(".",D5,SEARCH(".",D5,1)+1)+1))),_xlfn.BITXOR(VALUE(RIGHT(L5,LEN(L5)-SEARCH(".",L5,SEARCH(".",L5,SEARCH(".",L5,1)+1)+1))),255)),"")</f>
        <v>10.201.63.255</v>
      </c>
      <c r="H5" s="11">
        <f>IF(E5&lt;&gt;0,2^(32-E5),"")</f>
        <v>2048</v>
      </c>
      <c r="L5" s="10" t="str">
        <f>IF(E5=1,"128.0.0.0",IF(E5=2,"192.0.0.0",IF(E5=3,"224.0.0.0",IF(E5=4,"240.0.0.0",IF(E5=5,"248.0.0.0",IF(E5=6,"252.0.0.0",IF(E5=7,"254.0.0.0",IF(E5=8,"255.0.0.0",IF(E5=9,"255.128.0.0",IF(E5=10,"255.192.0.0",IF(E5=11,"255.224.0.0",IF(E5=12,"255.240.0.0",IF(E5=13,"255.248.0.0",IF(E5=14,"255.252.0.0",IF(E5=15,"255.254.0.0",IF(E5=16,"255.255.0.0",IF(E5=17,"255.255.128.0",IF(E5=18,"255.255.192.0",IF(E5=19,"255.255.224.0",IF(E5=20,"255.255.240.0",IF(E5=21,"255.255.248.0",IF(E5=22,"255.255.252.0",IF(E5=23,"255.255.254.0",IF(E5=24,"255.255.255.0",IF(E5=25,"255.255.255.128",IF(E5=26,"255.255.255.192",IF(E5=27,"255.255.255.224",IF(E5=28,"255.255.255.240",IF(E5=29,"255.255.255.248",IF(E5=30,"255.255.255.252",IF(E5=31,"255.255.255.254",IF(E5=32,"255.255.255.255",""))))))))))))))))))))))))))))))))</f>
        <v>255.255.248.0</v>
      </c>
    </row>
    <row r="6" spans="1:12" x14ac:dyDescent="0.15">
      <c r="B6" s="27"/>
      <c r="C6" s="27"/>
      <c r="D6" s="12" t="str">
        <f>"10."&amp;J1&amp;".64.0"</f>
        <v>10.201.64.0</v>
      </c>
      <c r="E6" s="12">
        <v>19</v>
      </c>
      <c r="F6" s="12" t="str">
        <f>IF(L6&lt;&gt;"",_xlfn.BITAND(VALUE(LEFT(D6,SEARCH(".",D6,1)-1)),VALUE(LEFT(L6,SEARCH(".",L6,1)-1)))&amp;"."&amp;
_xlfn.BITAND(VALUE(MID(D6,SEARCH(".",D6,1)+1,SEARCH(".",D6,SEARCH(".",D6,1)+1)-SEARCH(".",D6,1)-1)),VALUE(MID(L6,SEARCH(".",L6,1)+1,SEARCH(".",L6,SEARCH(".",L6,1)+1)-SEARCH(".",L6,1)-1)))&amp;"."&amp;
_xlfn.BITAND(VALUE(MID(D6,SEARCH(".",D6,SEARCH(".",D6,1)+1)+1,SEARCH(".",D6,SEARCH(".",D6,SEARCH(".",D6,1)+1)+1)-SEARCH(".",D6,SEARCH(".",D6,1)+1)-1)),VALUE(MID(L6,SEARCH(".",L6,SEARCH(".",L6,1)+1)+1,SEARCH(".",L6,SEARCH(".",L6,SEARCH(".",L6,1)+1)+1)-SEARCH(".",L6,SEARCH(".",L6,1)+1)-1)))&amp;"."&amp;
_xlfn.BITAND(VALUE(RIGHT(D6,LEN(D6)-SEARCH(".",D6,SEARCH(".",D6,SEARCH(".",D6,1)+1)+1))),VALUE(RIGHT(L6,LEN(L6)-SEARCH(".",L6,SEARCH(".",L6,SEARCH(".",L6,1)+1)+1)))),"")</f>
        <v>10.201.64.0</v>
      </c>
      <c r="G6" s="12" t="str">
        <f>IF(L6&lt;&gt;"",_xlfn.BITOR(VALUE(LEFT(D6,SEARCH(".",D6,1)-1)),_xlfn.BITXOR(VALUE(LEFT(L6,SEARCH(".",L6,1)-1)),255))&amp;"."&amp;
_xlfn.BITOR(VALUE(MID(D6,SEARCH(".",D6,1)+1,SEARCH(".",D6,SEARCH(".",D6,1)+1)-SEARCH(".",D6,1)-1)),_xlfn.BITXOR(VALUE(MID(L6,SEARCH(".",L6,1)+1,SEARCH(".",L6,SEARCH(".",L6,1)+1)-SEARCH(".",L6,1)-1)),255))&amp;"."&amp;
_xlfn.BITOR(VALUE(MID(D6,SEARCH(".",D6,SEARCH(".",D6,1)+1)+1,SEARCH(".",D6,SEARCH(".",D6,SEARCH(".",D6,1)+1)+1)-SEARCH(".",D6,SEARCH(".",D6,1)+1)-1)),_xlfn.BITXOR(VALUE(MID(L6,SEARCH(".",L6,SEARCH(".",L6,1)+1)+1,SEARCH(".",L6,SEARCH(".",L6,SEARCH(".",L6,1)+1)+1)-SEARCH(".",L6,SEARCH(".",L6,1)+1)-1)),255))&amp;"."&amp;
_xlfn.BITOR(VALUE(RIGHT(D6,LEN(D6)-SEARCH(".",D6,SEARCH(".",D6,SEARCH(".",D6,1)+1)+1))),_xlfn.BITXOR(VALUE(RIGHT(L6,LEN(L6)-SEARCH(".",L6,SEARCH(".",L6,SEARCH(".",L6,1)+1)+1))),255)),"")</f>
        <v>10.201.95.255</v>
      </c>
      <c r="H6" s="12">
        <f>IF(E6&lt;&gt;0,2^(32-E6),"")</f>
        <v>8192</v>
      </c>
      <c r="L6" s="10" t="str">
        <f>IF(E6=1,"128.0.0.0",IF(E6=2,"192.0.0.0",IF(E6=3,"224.0.0.0",IF(E6=4,"240.0.0.0",IF(E6=5,"248.0.0.0",IF(E6=6,"252.0.0.0",IF(E6=7,"254.0.0.0",IF(E6=8,"255.0.0.0",IF(E6=9,"255.128.0.0",IF(E6=10,"255.192.0.0",IF(E6=11,"255.224.0.0",IF(E6=12,"255.240.0.0",IF(E6=13,"255.248.0.0",IF(E6=14,"255.252.0.0",IF(E6=15,"255.254.0.0",IF(E6=16,"255.255.0.0",IF(E6=17,"255.255.128.0",IF(E6=18,"255.255.192.0",IF(E6=19,"255.255.224.0",IF(E6=20,"255.255.240.0",IF(E6=21,"255.255.248.0",IF(E6=22,"255.255.252.0",IF(E6=23,"255.255.254.0",IF(E6=24,"255.255.255.0",IF(E6=25,"255.255.255.128",IF(E6=26,"255.255.255.192",IF(E6=27,"255.255.255.224",IF(E6=28,"255.255.255.240",IF(E6=29,"255.255.255.248",IF(E6=30,"255.255.255.252",IF(E6=31,"255.255.255.254",IF(E6=32,"255.255.255.255",""))))))))))))))))))))))))))))))))</f>
        <v>255.255.224.0</v>
      </c>
    </row>
    <row r="7" spans="1:12" x14ac:dyDescent="0.15">
      <c r="D7" s="14"/>
      <c r="E7" s="14"/>
      <c r="F7" s="14"/>
      <c r="G7" s="14"/>
      <c r="H7" s="14"/>
    </row>
    <row r="8" spans="1:12" x14ac:dyDescent="0.15">
      <c r="D8" s="14"/>
      <c r="E8" s="14"/>
      <c r="F8" s="14"/>
      <c r="G8" s="14"/>
      <c r="H8" s="14"/>
    </row>
    <row r="9" spans="1:12" ht="14.25" thickBot="1" x14ac:dyDescent="0.2">
      <c r="A9" s="10" t="s">
        <v>1</v>
      </c>
      <c r="B9" s="10" t="s">
        <v>4</v>
      </c>
      <c r="D9" s="14"/>
      <c r="E9" s="14"/>
      <c r="F9" s="14"/>
      <c r="G9" s="14"/>
      <c r="H9" s="14"/>
    </row>
    <row r="10" spans="1:12" ht="14.25" thickBot="1" x14ac:dyDescent="0.2">
      <c r="A10" s="2" t="s">
        <v>2</v>
      </c>
      <c r="B10" s="2" t="s">
        <v>3</v>
      </c>
      <c r="C10" s="2" t="s">
        <v>9</v>
      </c>
      <c r="D10" s="3" t="s">
        <v>4</v>
      </c>
      <c r="E10" s="3" t="s">
        <v>8</v>
      </c>
      <c r="F10" s="3" t="s">
        <v>5</v>
      </c>
      <c r="G10" s="3" t="s">
        <v>6</v>
      </c>
      <c r="H10" s="3" t="s">
        <v>10</v>
      </c>
      <c r="I10" s="2" t="s">
        <v>11</v>
      </c>
      <c r="L10" s="10" t="s">
        <v>7</v>
      </c>
    </row>
    <row r="11" spans="1:12" x14ac:dyDescent="0.15">
      <c r="A11" s="7"/>
      <c r="B11" s="7"/>
      <c r="C11" s="7"/>
      <c r="D11" s="11" t="str">
        <f>"10."&amp;J1&amp;".0.0"</f>
        <v>10.201.0.0</v>
      </c>
      <c r="E11" s="11">
        <v>24</v>
      </c>
      <c r="F11" s="11" t="str">
        <f t="shared" ref="F11:F28" si="0">IF(L11&lt;&gt;"",_xlfn.BITAND(VALUE(LEFT(D11,SEARCH(".",D11,1)-1)),VALUE(LEFT(L11,SEARCH(".",L11,1)-1)))&amp;"."&amp;
_xlfn.BITAND(VALUE(MID(D11,SEARCH(".",D11,1)+1,SEARCH(".",D11,SEARCH(".",D11,1)+1)-SEARCH(".",D11,1)-1)),VALUE(MID(L11,SEARCH(".",L11,1)+1,SEARCH(".",L11,SEARCH(".",L11,1)+1)-SEARCH(".",L11,1)-1)))&amp;"."&amp;
_xlfn.BITAND(VALUE(MID(D11,SEARCH(".",D11,SEARCH(".",D11,1)+1)+1,SEARCH(".",D11,SEARCH(".",D11,SEARCH(".",D11,1)+1)+1)-SEARCH(".",D11,SEARCH(".",D11,1)+1)-1)),VALUE(MID(L11,SEARCH(".",L11,SEARCH(".",L11,1)+1)+1,SEARCH(".",L11,SEARCH(".",L11,SEARCH(".",L11,1)+1)+1)-SEARCH(".",L11,SEARCH(".",L11,1)+1)-1)))&amp;"."&amp;
_xlfn.BITAND(VALUE(RIGHT(D11,LEN(D11)-SEARCH(".",D11,SEARCH(".",D11,SEARCH(".",D11,1)+1)+1))),VALUE(RIGHT(L11,LEN(L11)-SEARCH(".",L11,SEARCH(".",L11,SEARCH(".",L11,1)+1)+1)))),"")</f>
        <v>10.201.0.0</v>
      </c>
      <c r="G11" s="11" t="str">
        <f>IF(L11&lt;&gt;"",_xlfn.BITOR(VALUE(LEFT(D11,SEARCH(".",D11,1)-1)),_xlfn.BITXOR(VALUE(LEFT(L11,SEARCH(".",L11,1)-1)),255))&amp;"."&amp;
_xlfn.BITOR(VALUE(MID(D11,SEARCH(".",D11,1)+1,SEARCH(".",D11,SEARCH(".",D11,1)+1)-SEARCH(".",D11,1)-1)),_xlfn.BITXOR(VALUE(MID(L11,SEARCH(".",L11,1)+1,SEARCH(".",L11,SEARCH(".",L11,1)+1)-SEARCH(".",L11,1)-1)),255))&amp;"."&amp;
_xlfn.BITOR(VALUE(MID(D11,SEARCH(".",D11,SEARCH(".",D11,1)+1)+1,SEARCH(".",D11,SEARCH(".",D11,SEARCH(".",D11,1)+1)+1)-SEARCH(".",D11,SEARCH(".",D11,1)+1)-1)),_xlfn.BITXOR(VALUE(MID(L11,SEARCH(".",L11,SEARCH(".",L11,1)+1)+1,SEARCH(".",L11,SEARCH(".",L11,SEARCH(".",L11,1)+1)+1)-SEARCH(".",L11,SEARCH(".",L11,1)+1)-1)),255))&amp;"."&amp;
_xlfn.BITOR(VALUE(RIGHT(D11,LEN(D11)-SEARCH(".",D11,SEARCH(".",D11,SEARCH(".",D11,1)+1)+1))),_xlfn.BITXOR(VALUE(RIGHT(L11,LEN(L11)-SEARCH(".",L11,SEARCH(".",L11,SEARCH(".",L11,1)+1)+1))),255)),"")</f>
        <v>10.201.0.255</v>
      </c>
      <c r="H11" s="11">
        <f>IF(E11&lt;&gt;0,2^(32-E11),"")</f>
        <v>256</v>
      </c>
      <c r="I11" s="7"/>
      <c r="L11" s="10" t="str">
        <f t="shared" ref="L11:L28" si="1">IF(E11=1,"128.0.0.0",IF(E11=2,"192.0.0.0",IF(E11=3,"224.0.0.0",IF(E11=4,"240.0.0.0",IF(E11=5,"248.0.0.0",IF(E11=6,"252.0.0.0",IF(E11=7,"254.0.0.0",IF(E11=8,"255.0.0.0",IF(E11=9,"255.128.0.0",IF(E11=10,"255.192.0.0",IF(E11=11,"255.224.0.0",IF(E11=12,"255.240.0.0",IF(E11=13,"255.248.0.0",IF(E11=14,"255.252.0.0",IF(E11=15,"255.254.0.0",IF(E11=16,"255.255.0.0",IF(E11=17,"255.255.128.0",IF(E11=18,"255.255.192.0",IF(E11=19,"255.255.224.0",IF(E11=20,"255.255.240.0",IF(E11=21,"255.255.248.0",IF(E11=22,"255.255.252.0",IF(E11=23,"255.255.254.0",IF(E11=24,"255.255.255.0",IF(E11=25,"255.255.255.128",IF(E11=26,"255.255.255.192",IF(E11=27,"255.255.255.224",IF(E11=28,"255.255.255.240",IF(E11=29,"255.255.255.248",IF(E11=30,"255.255.255.252",IF(E11=31,"255.255.255.254",IF(E11=32,"255.255.255.255",""))))))))))))))))))))))))))))))))</f>
        <v>255.255.255.0</v>
      </c>
    </row>
    <row r="12" spans="1:12" x14ac:dyDescent="0.15">
      <c r="A12" s="7"/>
      <c r="B12" s="7"/>
      <c r="C12" s="7"/>
      <c r="D12" s="11" t="str">
        <f>IF(L11&lt;&gt;"",_xlfn.BITOR(VALUE(LEFT(D11,SEARCH(".",D11,1)-1)),_xlfn.BITXOR(VALUE(LEFT(L11,SEARCH(".",L11,1)-1)),255))&amp;"."&amp;
_xlfn.BITOR(VALUE(MID(D11,SEARCH(".",D11,1)+1,SEARCH(".",D11,SEARCH(".",D11,1)+1)-SEARCH(".",D11,1)-1)),_xlfn.BITXOR(VALUE(MID(L11,SEARCH(".",L11,1)+1,SEARCH(".",L11,SEARCH(".",L11,1)+1)-SEARCH(".",L11,1)-1)),255))&amp;"."&amp;
_xlfn.BITOR(VALUE(MID(D11,SEARCH(".",D11,SEARCH(".",D11,1)+1)+1,SEARCH(".",D11,SEARCH(".",D11,SEARCH(".",D11,1)+1)+1)-SEARCH(".",D11,SEARCH(".",D11,1)+1)-1)),_xlfn.BITXOR(VALUE(MID(L11,SEARCH(".",L11,SEARCH(".",L11,1)+1)+1,SEARCH(".",L11,SEARCH(".",L11,SEARCH(".",L11,1)+1)+1)-SEARCH(".",L11,SEARCH(".",L11,1)+1)-1)),255))+1&amp;"."&amp;
IF(_xlfn.BITOR(VALUE(RIGHT(D11,LEN(D11)-SEARCH(".",D11,SEARCH(".",D11,SEARCH(".",D11,1)+1)+1))),_xlfn.BITXOR(VALUE(RIGHT(L11,LEN(L11)-SEARCH(".",L11,SEARCH(".",L11,SEARCH(".",L11,1)+1)+1))),255))=255,0,_xlfn.BITOR(VALUE(RIGHT(D11,LEN(D11)-SEARCH(".",D11,SEARCH(".",D11,SEARCH(".",D11,1)+1)+1))),_xlfn.BITXOR(VALUE(RIGHT(L11,LEN(L11)-SEARCH(".",L11,SEARCH(".",L11,SEARCH(".",L11,1)+1)+1))),255))),)</f>
        <v>10.201.1.0</v>
      </c>
      <c r="E12" s="11">
        <v>20</v>
      </c>
      <c r="F12" s="11" t="str">
        <f t="shared" si="0"/>
        <v>10.201.0.0</v>
      </c>
      <c r="G12" s="11" t="str">
        <f t="shared" ref="G11:G28" si="2">IF(L12&lt;&gt;"",_xlfn.BITOR(VALUE(LEFT(D12,SEARCH(".",D12,1)-1)),_xlfn.BITXOR(VALUE(LEFT(L12,SEARCH(".",L12,1)-1)),255))&amp;"."&amp;
_xlfn.BITOR(VALUE(MID(D12,SEARCH(".",D12,1)+1,SEARCH(".",D12,SEARCH(".",D12,1)+1)-SEARCH(".",D12,1)-1)),_xlfn.BITXOR(VALUE(MID(L12,SEARCH(".",L12,1)+1,SEARCH(".",L12,SEARCH(".",L12,1)+1)-SEARCH(".",L12,1)-1)),255))&amp;"."&amp;
_xlfn.BITOR(VALUE(MID(D12,SEARCH(".",D12,SEARCH(".",D12,1)+1)+1,SEARCH(".",D12,SEARCH(".",D12,SEARCH(".",D12,1)+1)+1)-SEARCH(".",D12,SEARCH(".",D12,1)+1)-1)),_xlfn.BITXOR(VALUE(MID(L12,SEARCH(".",L12,SEARCH(".",L12,1)+1)+1,SEARCH(".",L12,SEARCH(".",L12,SEARCH(".",L12,1)+1)+1)-SEARCH(".",L12,SEARCH(".",L12,1)+1)-1)),255))&amp;"."&amp;
_xlfn.BITOR(VALUE(RIGHT(D12,LEN(D12)-SEARCH(".",D12,SEARCH(".",D12,SEARCH(".",D12,1)+1)+1))),_xlfn.BITXOR(VALUE(RIGHT(L12,LEN(L12)-SEARCH(".",L12,SEARCH(".",L12,SEARCH(".",L12,1)+1)+1))),255)),"")</f>
        <v>10.201.15.255</v>
      </c>
      <c r="H12" s="11">
        <f t="shared" ref="H12:H28" si="3">IF(E12&lt;&gt;0,2^(32-E12),"")</f>
        <v>4096</v>
      </c>
      <c r="I12" s="7"/>
      <c r="L12" s="10" t="str">
        <f t="shared" si="1"/>
        <v>255.255.240.0</v>
      </c>
    </row>
    <row r="13" spans="1:12" x14ac:dyDescent="0.15">
      <c r="A13" s="7"/>
      <c r="B13" s="7"/>
      <c r="C13" s="7"/>
      <c r="D13" s="11" t="str">
        <f t="shared" ref="D13:D28" si="4">IF(L12&lt;&gt;"",_xlfn.BITOR(VALUE(LEFT(D12,SEARCH(".",D12,1)-1)),_xlfn.BITXOR(VALUE(LEFT(L12,SEARCH(".",L12,1)-1)),255))&amp;"."&amp;
_xlfn.BITOR(VALUE(MID(D12,SEARCH(".",D12,1)+1,SEARCH(".",D12,SEARCH(".",D12,1)+1)-SEARCH(".",D12,1)-1)),_xlfn.BITXOR(VALUE(MID(L12,SEARCH(".",L12,1)+1,SEARCH(".",L12,SEARCH(".",L12,1)+1)-SEARCH(".",L12,1)-1)),255))&amp;"."&amp;
_xlfn.BITOR(VALUE(MID(D12,SEARCH(".",D12,SEARCH(".",D12,1)+1)+1,SEARCH(".",D12,SEARCH(".",D12,SEARCH(".",D12,1)+1)+1)-SEARCH(".",D12,SEARCH(".",D12,1)+1)-1)),_xlfn.BITXOR(VALUE(MID(L12,SEARCH(".",L12,SEARCH(".",L12,1)+1)+1,SEARCH(".",L12,SEARCH(".",L12,SEARCH(".",L12,1)+1)+1)-SEARCH(".",L12,SEARCH(".",L12,1)+1)-1)),255))+1&amp;"."&amp;
IF(_xlfn.BITOR(VALUE(RIGHT(D12,LEN(D12)-SEARCH(".",D12,SEARCH(".",D12,SEARCH(".",D12,1)+1)+1))),_xlfn.BITXOR(VALUE(RIGHT(L12,LEN(L12)-SEARCH(".",L12,SEARCH(".",L12,SEARCH(".",L12,1)+1)+1))),255))=255,0,_xlfn.BITOR(VALUE(RIGHT(D12,LEN(D12)-SEARCH(".",D12,SEARCH(".",D12,SEARCH(".",D12,1)+1)+1))),_xlfn.BITXOR(VALUE(RIGHT(L12,LEN(L12)-SEARCH(".",L12,SEARCH(".",L12,SEARCH(".",L12,1)+1)+1))),255))),)</f>
        <v>10.201.16.0</v>
      </c>
      <c r="E13" s="11">
        <v>23</v>
      </c>
      <c r="F13" s="11" t="str">
        <f t="shared" si="0"/>
        <v>10.201.16.0</v>
      </c>
      <c r="G13" s="11" t="str">
        <f t="shared" si="2"/>
        <v>10.201.17.255</v>
      </c>
      <c r="H13" s="11">
        <f t="shared" si="3"/>
        <v>512</v>
      </c>
      <c r="I13" s="7"/>
      <c r="L13" s="10" t="str">
        <f t="shared" si="1"/>
        <v>255.255.254.0</v>
      </c>
    </row>
    <row r="14" spans="1:12" x14ac:dyDescent="0.15">
      <c r="A14" s="7"/>
      <c r="B14" s="7"/>
      <c r="C14" s="7"/>
      <c r="D14" s="11" t="str">
        <f t="shared" si="4"/>
        <v>10.201.18.0</v>
      </c>
      <c r="E14" s="11">
        <v>20</v>
      </c>
      <c r="F14" s="11" t="str">
        <f t="shared" si="0"/>
        <v>10.201.16.0</v>
      </c>
      <c r="G14" s="11" t="str">
        <f t="shared" si="2"/>
        <v>10.201.31.255</v>
      </c>
      <c r="H14" s="11">
        <f t="shared" si="3"/>
        <v>4096</v>
      </c>
      <c r="I14" s="7"/>
      <c r="L14" s="10" t="str">
        <f t="shared" si="1"/>
        <v>255.255.240.0</v>
      </c>
    </row>
    <row r="15" spans="1:12" x14ac:dyDescent="0.15">
      <c r="A15" s="7"/>
      <c r="B15" s="7"/>
      <c r="C15" s="7"/>
      <c r="D15" s="11" t="str">
        <f t="shared" si="4"/>
        <v>10.201.32.0</v>
      </c>
      <c r="E15" s="11">
        <v>24</v>
      </c>
      <c r="F15" s="11" t="str">
        <f t="shared" si="0"/>
        <v>10.201.32.0</v>
      </c>
      <c r="G15" s="11" t="str">
        <f t="shared" si="2"/>
        <v>10.201.32.255</v>
      </c>
      <c r="H15" s="11">
        <f t="shared" si="3"/>
        <v>256</v>
      </c>
      <c r="I15" s="7"/>
      <c r="L15" s="10" t="str">
        <f t="shared" si="1"/>
        <v>255.255.255.0</v>
      </c>
    </row>
    <row r="16" spans="1:12" x14ac:dyDescent="0.15">
      <c r="A16" s="7"/>
      <c r="B16" s="7"/>
      <c r="C16" s="7"/>
      <c r="D16" s="11" t="str">
        <f t="shared" si="4"/>
        <v>10.201.33.0</v>
      </c>
      <c r="E16" s="11">
        <v>24</v>
      </c>
      <c r="F16" s="11" t="str">
        <f t="shared" si="0"/>
        <v>10.201.33.0</v>
      </c>
      <c r="G16" s="11" t="str">
        <f t="shared" si="2"/>
        <v>10.201.33.255</v>
      </c>
      <c r="H16" s="11">
        <f t="shared" si="3"/>
        <v>256</v>
      </c>
      <c r="I16" s="7"/>
      <c r="L16" s="10" t="str">
        <f t="shared" si="1"/>
        <v>255.255.255.0</v>
      </c>
    </row>
    <row r="17" spans="1:20" x14ac:dyDescent="0.15">
      <c r="A17" s="7"/>
      <c r="B17" s="7"/>
      <c r="C17" s="7"/>
      <c r="D17" s="11" t="str">
        <f t="shared" si="4"/>
        <v>10.201.34.0</v>
      </c>
      <c r="E17" s="11">
        <v>20</v>
      </c>
      <c r="F17" s="11" t="str">
        <f t="shared" si="0"/>
        <v>10.201.32.0</v>
      </c>
      <c r="G17" s="11" t="str">
        <f t="shared" si="2"/>
        <v>10.201.47.255</v>
      </c>
      <c r="H17" s="11">
        <f t="shared" si="3"/>
        <v>4096</v>
      </c>
      <c r="I17" s="7"/>
      <c r="L17" s="10" t="str">
        <f t="shared" si="1"/>
        <v>255.255.240.0</v>
      </c>
    </row>
    <row r="18" spans="1:20" x14ac:dyDescent="0.15">
      <c r="A18" s="7"/>
      <c r="B18" s="7"/>
      <c r="C18" s="7"/>
      <c r="D18" s="11" t="str">
        <f t="shared" si="4"/>
        <v>10.201.48.0</v>
      </c>
      <c r="E18" s="11">
        <v>20</v>
      </c>
      <c r="F18" s="11" t="str">
        <f t="shared" si="0"/>
        <v>10.201.48.0</v>
      </c>
      <c r="G18" s="11" t="str">
        <f t="shared" si="2"/>
        <v>10.201.63.255</v>
      </c>
      <c r="H18" s="11">
        <f t="shared" si="3"/>
        <v>4096</v>
      </c>
      <c r="I18" s="7"/>
      <c r="L18" s="10" t="str">
        <f t="shared" si="1"/>
        <v>255.255.240.0</v>
      </c>
    </row>
    <row r="19" spans="1:20" x14ac:dyDescent="0.15">
      <c r="A19" s="7"/>
      <c r="B19" s="7"/>
      <c r="C19" s="7"/>
      <c r="D19" s="11" t="str">
        <f t="shared" si="4"/>
        <v>10.201.64.0</v>
      </c>
      <c r="E19" s="11">
        <v>24</v>
      </c>
      <c r="F19" s="11" t="str">
        <f t="shared" si="0"/>
        <v>10.201.64.0</v>
      </c>
      <c r="G19" s="11" t="str">
        <f t="shared" si="2"/>
        <v>10.201.64.255</v>
      </c>
      <c r="H19" s="11">
        <f t="shared" si="3"/>
        <v>256</v>
      </c>
      <c r="I19" s="7"/>
      <c r="L19" s="10" t="str">
        <f t="shared" si="1"/>
        <v>255.255.255.0</v>
      </c>
    </row>
    <row r="20" spans="1:20" x14ac:dyDescent="0.15">
      <c r="A20" s="7"/>
      <c r="B20" s="7"/>
      <c r="C20" s="7"/>
      <c r="D20" s="11" t="str">
        <f t="shared" si="4"/>
        <v>10.201.65.0</v>
      </c>
      <c r="E20" s="11">
        <v>24</v>
      </c>
      <c r="F20" s="11" t="str">
        <f t="shared" si="0"/>
        <v>10.201.65.0</v>
      </c>
      <c r="G20" s="11" t="str">
        <f t="shared" si="2"/>
        <v>10.201.65.255</v>
      </c>
      <c r="H20" s="11">
        <f t="shared" si="3"/>
        <v>256</v>
      </c>
      <c r="I20" s="7"/>
      <c r="L20" s="10" t="str">
        <f t="shared" si="1"/>
        <v>255.255.255.0</v>
      </c>
    </row>
    <row r="21" spans="1:20" x14ac:dyDescent="0.15">
      <c r="A21" s="7"/>
      <c r="B21" s="7"/>
      <c r="C21" s="7"/>
      <c r="D21" s="11" t="str">
        <f t="shared" si="4"/>
        <v>10.201.66.0</v>
      </c>
      <c r="E21" s="11">
        <v>24</v>
      </c>
      <c r="F21" s="11" t="str">
        <f t="shared" si="0"/>
        <v>10.201.66.0</v>
      </c>
      <c r="G21" s="11" t="str">
        <f t="shared" si="2"/>
        <v>10.201.66.255</v>
      </c>
      <c r="H21" s="11">
        <f t="shared" si="3"/>
        <v>256</v>
      </c>
      <c r="I21" s="7"/>
      <c r="L21" s="10" t="str">
        <f t="shared" si="1"/>
        <v>255.255.255.0</v>
      </c>
    </row>
    <row r="22" spans="1:20" x14ac:dyDescent="0.15">
      <c r="A22" s="7"/>
      <c r="B22" s="7"/>
      <c r="C22" s="7"/>
      <c r="D22" s="11" t="str">
        <f t="shared" si="4"/>
        <v>10.201.67.0</v>
      </c>
      <c r="E22" s="11">
        <v>19</v>
      </c>
      <c r="F22" s="11" t="str">
        <f t="shared" si="0"/>
        <v>10.201.64.0</v>
      </c>
      <c r="G22" s="11" t="str">
        <f t="shared" si="2"/>
        <v>10.201.95.255</v>
      </c>
      <c r="H22" s="11">
        <f t="shared" si="3"/>
        <v>8192</v>
      </c>
      <c r="I22" s="7"/>
      <c r="L22" s="10" t="str">
        <f t="shared" si="1"/>
        <v>255.255.224.0</v>
      </c>
    </row>
    <row r="23" spans="1:20" x14ac:dyDescent="0.15">
      <c r="A23" s="7"/>
      <c r="B23" s="7"/>
      <c r="C23" s="7"/>
      <c r="D23" s="11" t="str">
        <f t="shared" si="4"/>
        <v>10.201.96.0</v>
      </c>
      <c r="E23" s="11">
        <v>23</v>
      </c>
      <c r="F23" s="11" t="str">
        <f t="shared" si="0"/>
        <v>10.201.96.0</v>
      </c>
      <c r="G23" s="11" t="str">
        <f t="shared" si="2"/>
        <v>10.201.97.255</v>
      </c>
      <c r="H23" s="11">
        <f t="shared" si="3"/>
        <v>512</v>
      </c>
      <c r="I23" s="7"/>
      <c r="L23" s="10" t="str">
        <f t="shared" si="1"/>
        <v>255.255.254.0</v>
      </c>
    </row>
    <row r="24" spans="1:20" x14ac:dyDescent="0.15">
      <c r="A24" s="7"/>
      <c r="B24" s="7"/>
      <c r="C24" s="7"/>
      <c r="D24" s="11" t="str">
        <f t="shared" si="4"/>
        <v>10.201.98.0</v>
      </c>
      <c r="E24" s="11">
        <v>24</v>
      </c>
      <c r="F24" s="11" t="str">
        <f t="shared" si="0"/>
        <v>10.201.98.0</v>
      </c>
      <c r="G24" s="11" t="str">
        <f t="shared" si="2"/>
        <v>10.201.98.255</v>
      </c>
      <c r="H24" s="11">
        <f t="shared" si="3"/>
        <v>256</v>
      </c>
      <c r="I24" s="7"/>
      <c r="L24" s="10" t="str">
        <f t="shared" si="1"/>
        <v>255.255.255.0</v>
      </c>
    </row>
    <row r="25" spans="1:20" x14ac:dyDescent="0.15">
      <c r="A25" s="7"/>
      <c r="B25" s="7"/>
      <c r="C25" s="7"/>
      <c r="D25" s="11" t="str">
        <f t="shared" si="4"/>
        <v>10.201.99.0</v>
      </c>
      <c r="E25" s="11">
        <v>24</v>
      </c>
      <c r="F25" s="11" t="str">
        <f t="shared" si="0"/>
        <v>10.201.99.0</v>
      </c>
      <c r="G25" s="11" t="str">
        <f t="shared" si="2"/>
        <v>10.201.99.255</v>
      </c>
      <c r="H25" s="11">
        <f t="shared" si="3"/>
        <v>256</v>
      </c>
      <c r="I25" s="7"/>
      <c r="L25" s="10" t="str">
        <f t="shared" si="1"/>
        <v>255.255.255.0</v>
      </c>
    </row>
    <row r="26" spans="1:20" x14ac:dyDescent="0.15">
      <c r="A26" s="7"/>
      <c r="B26" s="7"/>
      <c r="C26" s="7"/>
      <c r="D26" s="11" t="str">
        <f t="shared" si="4"/>
        <v>10.201.100.0</v>
      </c>
      <c r="E26" s="11">
        <v>20</v>
      </c>
      <c r="F26" s="11" t="str">
        <f t="shared" si="0"/>
        <v>10.201.96.0</v>
      </c>
      <c r="G26" s="11" t="str">
        <f t="shared" si="2"/>
        <v>10.201.111.255</v>
      </c>
      <c r="H26" s="11">
        <f t="shared" si="3"/>
        <v>4096</v>
      </c>
      <c r="I26" s="7"/>
      <c r="L26" s="10" t="str">
        <f t="shared" si="1"/>
        <v>255.255.240.0</v>
      </c>
    </row>
    <row r="27" spans="1:20" x14ac:dyDescent="0.15">
      <c r="A27" s="7"/>
      <c r="B27" s="7"/>
      <c r="C27" s="7"/>
      <c r="D27" s="11" t="str">
        <f t="shared" si="4"/>
        <v>10.201.112.0</v>
      </c>
      <c r="E27" s="11">
        <v>24</v>
      </c>
      <c r="F27" s="11" t="str">
        <f t="shared" si="0"/>
        <v>10.201.112.0</v>
      </c>
      <c r="G27" s="11" t="str">
        <f t="shared" si="2"/>
        <v>10.201.112.255</v>
      </c>
      <c r="H27" s="11">
        <f t="shared" si="3"/>
        <v>256</v>
      </c>
      <c r="I27" s="7"/>
      <c r="L27" s="10" t="str">
        <f t="shared" si="1"/>
        <v>255.255.255.0</v>
      </c>
    </row>
    <row r="28" spans="1:20" x14ac:dyDescent="0.15">
      <c r="A28" s="4"/>
      <c r="B28" s="4"/>
      <c r="C28" s="4"/>
      <c r="D28" s="11" t="str">
        <f t="shared" si="4"/>
        <v>10.201.113.0</v>
      </c>
      <c r="E28" s="11">
        <v>24</v>
      </c>
      <c r="F28" s="12" t="str">
        <f t="shared" si="0"/>
        <v>10.201.113.0</v>
      </c>
      <c r="G28" s="12" t="str">
        <f t="shared" si="2"/>
        <v>10.201.113.255</v>
      </c>
      <c r="H28" s="12">
        <f t="shared" si="3"/>
        <v>256</v>
      </c>
      <c r="I28" s="4"/>
      <c r="L28" s="10" t="str">
        <f t="shared" si="1"/>
        <v>255.255.255.0</v>
      </c>
    </row>
    <row r="30" spans="1:20" ht="14.25" thickBot="1" x14ac:dyDescent="0.2">
      <c r="B30" s="1" t="s">
        <v>13</v>
      </c>
    </row>
    <row r="31" spans="1:20" ht="14.25" thickBot="1" x14ac:dyDescent="0.2">
      <c r="A31" s="2" t="s">
        <v>2</v>
      </c>
      <c r="B31" s="2" t="s">
        <v>3</v>
      </c>
      <c r="C31" s="2" t="s">
        <v>15</v>
      </c>
      <c r="D31" s="3" t="s">
        <v>13</v>
      </c>
      <c r="E31" s="22" t="s">
        <v>14</v>
      </c>
      <c r="F31" s="23"/>
      <c r="G31" s="24"/>
      <c r="H31" s="22" t="s">
        <v>16</v>
      </c>
      <c r="I31" s="24"/>
      <c r="L31" s="15" t="s">
        <v>32</v>
      </c>
      <c r="M31" s="15"/>
      <c r="N31" s="15"/>
      <c r="O31" s="15"/>
      <c r="P31" s="15"/>
      <c r="Q31" s="15"/>
      <c r="R31" s="15"/>
      <c r="S31" s="15"/>
      <c r="T31" s="15"/>
    </row>
    <row r="32" spans="1:20" x14ac:dyDescent="0.15">
      <c r="A32" s="4"/>
      <c r="B32" s="4"/>
      <c r="C32" s="4"/>
      <c r="D32" s="4"/>
      <c r="E32" s="30"/>
      <c r="F32" s="32"/>
      <c r="G32" s="31"/>
      <c r="H32" s="30"/>
      <c r="I32" s="31"/>
      <c r="L32" s="10" t="s">
        <v>18</v>
      </c>
      <c r="M32" s="10">
        <f>B32</f>
        <v>0</v>
      </c>
      <c r="N32" s="13" t="s">
        <v>20</v>
      </c>
      <c r="P32" s="10" t="s">
        <v>19</v>
      </c>
      <c r="Q32" s="10">
        <f>D32</f>
        <v>0</v>
      </c>
      <c r="R32" s="13" t="s">
        <v>21</v>
      </c>
      <c r="S32" s="10">
        <f>B32</f>
        <v>0</v>
      </c>
      <c r="T32" s="13" t="s">
        <v>20</v>
      </c>
    </row>
    <row r="33" spans="1:20" x14ac:dyDescent="0.15">
      <c r="A33" s="4"/>
      <c r="B33" s="4"/>
      <c r="C33" s="4"/>
      <c r="D33" s="4"/>
      <c r="E33" s="16"/>
      <c r="F33" s="18"/>
      <c r="G33" s="17"/>
      <c r="H33" s="16"/>
      <c r="I33" s="17"/>
      <c r="L33" s="10" t="s">
        <v>18</v>
      </c>
      <c r="M33" s="10">
        <f t="shared" ref="M33:M46" si="5">B33</f>
        <v>0</v>
      </c>
      <c r="N33" s="13" t="s">
        <v>20</v>
      </c>
      <c r="P33" s="10" t="s">
        <v>19</v>
      </c>
      <c r="Q33" s="10">
        <f t="shared" ref="Q33:Q46" si="6">D33</f>
        <v>0</v>
      </c>
      <c r="R33" s="13" t="s">
        <v>21</v>
      </c>
      <c r="S33" s="10">
        <f t="shared" ref="S33:S46" si="7">B33</f>
        <v>0</v>
      </c>
      <c r="T33" s="13" t="s">
        <v>20</v>
      </c>
    </row>
    <row r="34" spans="1:20" x14ac:dyDescent="0.15">
      <c r="A34" s="6"/>
      <c r="B34" s="6"/>
      <c r="C34" s="6"/>
      <c r="D34" s="6"/>
      <c r="E34" s="16"/>
      <c r="F34" s="18"/>
      <c r="G34" s="17"/>
      <c r="H34" s="16"/>
      <c r="I34" s="17"/>
      <c r="L34" s="10" t="s">
        <v>18</v>
      </c>
      <c r="M34" s="10">
        <f t="shared" si="5"/>
        <v>0</v>
      </c>
      <c r="N34" s="13" t="s">
        <v>20</v>
      </c>
      <c r="P34" s="10" t="s">
        <v>19</v>
      </c>
      <c r="Q34" s="10">
        <f t="shared" si="6"/>
        <v>0</v>
      </c>
      <c r="R34" s="13" t="s">
        <v>21</v>
      </c>
      <c r="S34" s="10">
        <f t="shared" si="7"/>
        <v>0</v>
      </c>
      <c r="T34" s="13" t="s">
        <v>20</v>
      </c>
    </row>
    <row r="35" spans="1:20" x14ac:dyDescent="0.15">
      <c r="A35" s="6"/>
      <c r="B35" s="6"/>
      <c r="C35" s="6"/>
      <c r="D35" s="6"/>
      <c r="E35" s="16"/>
      <c r="F35" s="18"/>
      <c r="G35" s="17"/>
      <c r="H35" s="16"/>
      <c r="I35" s="17"/>
      <c r="L35" s="10" t="s">
        <v>18</v>
      </c>
      <c r="M35" s="10">
        <f t="shared" si="5"/>
        <v>0</v>
      </c>
      <c r="N35" s="13" t="s">
        <v>20</v>
      </c>
      <c r="P35" s="10" t="s">
        <v>19</v>
      </c>
      <c r="Q35" s="10">
        <f t="shared" si="6"/>
        <v>0</v>
      </c>
      <c r="R35" s="13" t="s">
        <v>21</v>
      </c>
      <c r="S35" s="10">
        <f t="shared" si="7"/>
        <v>0</v>
      </c>
      <c r="T35" s="13" t="s">
        <v>20</v>
      </c>
    </row>
    <row r="36" spans="1:20" x14ac:dyDescent="0.15">
      <c r="A36" s="6"/>
      <c r="B36" s="6"/>
      <c r="C36" s="6"/>
      <c r="D36" s="6"/>
      <c r="E36" s="16"/>
      <c r="F36" s="18"/>
      <c r="G36" s="17"/>
      <c r="H36" s="16"/>
      <c r="I36" s="17"/>
      <c r="L36" s="10" t="s">
        <v>18</v>
      </c>
      <c r="M36" s="10">
        <f t="shared" si="5"/>
        <v>0</v>
      </c>
      <c r="N36" s="13" t="s">
        <v>20</v>
      </c>
      <c r="P36" s="10" t="s">
        <v>19</v>
      </c>
      <c r="Q36" s="10">
        <f t="shared" si="6"/>
        <v>0</v>
      </c>
      <c r="R36" s="13" t="s">
        <v>21</v>
      </c>
      <c r="S36" s="10">
        <f t="shared" si="7"/>
        <v>0</v>
      </c>
      <c r="T36" s="13" t="s">
        <v>20</v>
      </c>
    </row>
    <row r="37" spans="1:20" x14ac:dyDescent="0.15">
      <c r="A37" s="6"/>
      <c r="B37" s="6"/>
      <c r="C37" s="6"/>
      <c r="D37" s="6"/>
      <c r="E37" s="16"/>
      <c r="F37" s="18"/>
      <c r="G37" s="17"/>
      <c r="H37" s="16"/>
      <c r="I37" s="17"/>
      <c r="L37" s="10" t="s">
        <v>18</v>
      </c>
      <c r="M37" s="10">
        <f t="shared" si="5"/>
        <v>0</v>
      </c>
      <c r="N37" s="13" t="s">
        <v>20</v>
      </c>
      <c r="P37" s="10" t="s">
        <v>19</v>
      </c>
      <c r="Q37" s="10">
        <f t="shared" si="6"/>
        <v>0</v>
      </c>
      <c r="R37" s="13" t="s">
        <v>21</v>
      </c>
      <c r="S37" s="10">
        <f t="shared" si="7"/>
        <v>0</v>
      </c>
      <c r="T37" s="13" t="s">
        <v>20</v>
      </c>
    </row>
    <row r="38" spans="1:20" x14ac:dyDescent="0.15">
      <c r="A38" s="6"/>
      <c r="B38" s="6"/>
      <c r="C38" s="6"/>
      <c r="D38" s="6"/>
      <c r="E38" s="19"/>
      <c r="F38" s="20"/>
      <c r="G38" s="21"/>
      <c r="H38" s="16"/>
      <c r="I38" s="17"/>
      <c r="L38" s="10" t="s">
        <v>18</v>
      </c>
      <c r="M38" s="10">
        <f t="shared" si="5"/>
        <v>0</v>
      </c>
      <c r="N38" s="13" t="s">
        <v>20</v>
      </c>
      <c r="P38" s="10" t="s">
        <v>19</v>
      </c>
      <c r="Q38" s="10">
        <f t="shared" si="6"/>
        <v>0</v>
      </c>
      <c r="R38" s="13" t="s">
        <v>21</v>
      </c>
      <c r="S38" s="10">
        <f t="shared" si="7"/>
        <v>0</v>
      </c>
      <c r="T38" s="13" t="s">
        <v>20</v>
      </c>
    </row>
    <row r="39" spans="1:20" x14ac:dyDescent="0.15">
      <c r="A39" s="6"/>
      <c r="B39" s="6"/>
      <c r="C39" s="6"/>
      <c r="D39" s="6"/>
      <c r="E39" s="16"/>
      <c r="F39" s="18"/>
      <c r="G39" s="17"/>
      <c r="H39" s="16"/>
      <c r="I39" s="17"/>
      <c r="L39" s="10" t="s">
        <v>18</v>
      </c>
      <c r="M39" s="10">
        <f t="shared" si="5"/>
        <v>0</v>
      </c>
      <c r="N39" s="13" t="s">
        <v>20</v>
      </c>
      <c r="P39" s="10" t="s">
        <v>19</v>
      </c>
      <c r="Q39" s="10">
        <f t="shared" si="6"/>
        <v>0</v>
      </c>
      <c r="R39" s="13" t="s">
        <v>21</v>
      </c>
      <c r="S39" s="10">
        <f t="shared" si="7"/>
        <v>0</v>
      </c>
      <c r="T39" s="13" t="s">
        <v>20</v>
      </c>
    </row>
    <row r="40" spans="1:20" x14ac:dyDescent="0.15">
      <c r="A40" s="6"/>
      <c r="B40" s="6"/>
      <c r="C40" s="6"/>
      <c r="D40" s="6"/>
      <c r="E40" s="16"/>
      <c r="F40" s="18"/>
      <c r="G40" s="17"/>
      <c r="H40" s="16"/>
      <c r="I40" s="17"/>
      <c r="L40" s="10" t="s">
        <v>18</v>
      </c>
      <c r="M40" s="10">
        <f t="shared" si="5"/>
        <v>0</v>
      </c>
      <c r="N40" s="13" t="s">
        <v>20</v>
      </c>
      <c r="P40" s="10" t="s">
        <v>19</v>
      </c>
      <c r="Q40" s="10">
        <f t="shared" si="6"/>
        <v>0</v>
      </c>
      <c r="R40" s="13" t="s">
        <v>21</v>
      </c>
      <c r="S40" s="10">
        <f t="shared" si="7"/>
        <v>0</v>
      </c>
      <c r="T40" s="13" t="s">
        <v>20</v>
      </c>
    </row>
    <row r="41" spans="1:20" x14ac:dyDescent="0.15">
      <c r="A41" s="6"/>
      <c r="B41" s="6"/>
      <c r="C41" s="6"/>
      <c r="D41" s="6"/>
      <c r="E41" s="16"/>
      <c r="F41" s="18"/>
      <c r="G41" s="17"/>
      <c r="H41" s="16"/>
      <c r="I41" s="17"/>
      <c r="L41" s="10" t="s">
        <v>18</v>
      </c>
      <c r="M41" s="10">
        <f t="shared" si="5"/>
        <v>0</v>
      </c>
      <c r="N41" s="13" t="s">
        <v>20</v>
      </c>
      <c r="P41" s="10" t="s">
        <v>19</v>
      </c>
      <c r="Q41" s="10">
        <f t="shared" si="6"/>
        <v>0</v>
      </c>
      <c r="R41" s="13" t="s">
        <v>21</v>
      </c>
      <c r="S41" s="10">
        <f t="shared" si="7"/>
        <v>0</v>
      </c>
      <c r="T41" s="13" t="s">
        <v>20</v>
      </c>
    </row>
    <row r="42" spans="1:20" x14ac:dyDescent="0.15">
      <c r="A42" s="6"/>
      <c r="B42" s="6"/>
      <c r="C42" s="6"/>
      <c r="D42" s="6"/>
      <c r="E42" s="16"/>
      <c r="F42" s="18"/>
      <c r="G42" s="17"/>
      <c r="H42" s="16"/>
      <c r="I42" s="17"/>
      <c r="L42" s="10" t="s">
        <v>18</v>
      </c>
      <c r="M42" s="10">
        <f t="shared" si="5"/>
        <v>0</v>
      </c>
      <c r="N42" s="13" t="s">
        <v>20</v>
      </c>
      <c r="P42" s="10" t="s">
        <v>19</v>
      </c>
      <c r="Q42" s="10">
        <f t="shared" si="6"/>
        <v>0</v>
      </c>
      <c r="R42" s="13" t="s">
        <v>21</v>
      </c>
      <c r="S42" s="10">
        <f t="shared" si="7"/>
        <v>0</v>
      </c>
      <c r="T42" s="13" t="s">
        <v>20</v>
      </c>
    </row>
    <row r="43" spans="1:20" x14ac:dyDescent="0.15">
      <c r="A43" s="6"/>
      <c r="B43" s="6"/>
      <c r="C43" s="6"/>
      <c r="D43" s="6"/>
      <c r="E43" s="16"/>
      <c r="F43" s="18"/>
      <c r="G43" s="17"/>
      <c r="H43" s="16"/>
      <c r="I43" s="17"/>
      <c r="L43" s="10" t="s">
        <v>18</v>
      </c>
      <c r="M43" s="10">
        <f t="shared" si="5"/>
        <v>0</v>
      </c>
      <c r="N43" s="13" t="s">
        <v>20</v>
      </c>
      <c r="P43" s="10" t="s">
        <v>19</v>
      </c>
      <c r="Q43" s="10">
        <f t="shared" si="6"/>
        <v>0</v>
      </c>
      <c r="R43" s="13" t="s">
        <v>21</v>
      </c>
      <c r="S43" s="10">
        <f t="shared" si="7"/>
        <v>0</v>
      </c>
      <c r="T43" s="13" t="s">
        <v>20</v>
      </c>
    </row>
    <row r="44" spans="1:20" x14ac:dyDescent="0.15">
      <c r="A44" s="6"/>
      <c r="B44" s="6"/>
      <c r="C44" s="6"/>
      <c r="D44" s="6"/>
      <c r="E44" s="16"/>
      <c r="F44" s="18"/>
      <c r="G44" s="17"/>
      <c r="H44" s="16"/>
      <c r="I44" s="17"/>
      <c r="L44" s="10" t="s">
        <v>18</v>
      </c>
      <c r="M44" s="10">
        <f t="shared" si="5"/>
        <v>0</v>
      </c>
      <c r="N44" s="13" t="s">
        <v>20</v>
      </c>
      <c r="P44" s="10" t="s">
        <v>19</v>
      </c>
      <c r="Q44" s="10">
        <f t="shared" si="6"/>
        <v>0</v>
      </c>
      <c r="R44" s="13" t="s">
        <v>21</v>
      </c>
      <c r="S44" s="10">
        <f t="shared" si="7"/>
        <v>0</v>
      </c>
      <c r="T44" s="13" t="s">
        <v>20</v>
      </c>
    </row>
    <row r="45" spans="1:20" x14ac:dyDescent="0.15">
      <c r="A45" s="6"/>
      <c r="B45" s="6"/>
      <c r="C45" s="6"/>
      <c r="D45" s="6"/>
      <c r="E45" s="16"/>
      <c r="F45" s="18"/>
      <c r="G45" s="17"/>
      <c r="H45" s="16"/>
      <c r="I45" s="17"/>
      <c r="L45" s="10" t="s">
        <v>18</v>
      </c>
      <c r="M45" s="10">
        <f t="shared" si="5"/>
        <v>0</v>
      </c>
      <c r="N45" s="13" t="s">
        <v>20</v>
      </c>
      <c r="P45" s="10" t="s">
        <v>19</v>
      </c>
      <c r="Q45" s="10">
        <f t="shared" si="6"/>
        <v>0</v>
      </c>
      <c r="R45" s="13" t="s">
        <v>21</v>
      </c>
      <c r="S45" s="10">
        <f t="shared" si="7"/>
        <v>0</v>
      </c>
      <c r="T45" s="13" t="s">
        <v>20</v>
      </c>
    </row>
    <row r="46" spans="1:20" x14ac:dyDescent="0.15">
      <c r="A46" s="6"/>
      <c r="B46" s="6"/>
      <c r="C46" s="6"/>
      <c r="D46" s="6"/>
      <c r="E46" s="16"/>
      <c r="F46" s="18"/>
      <c r="G46" s="17"/>
      <c r="H46" s="16"/>
      <c r="I46" s="17"/>
      <c r="J46" s="1"/>
      <c r="L46" s="10" t="s">
        <v>18</v>
      </c>
      <c r="M46" s="10">
        <f t="shared" si="5"/>
        <v>0</v>
      </c>
      <c r="N46" s="13" t="s">
        <v>20</v>
      </c>
      <c r="P46" s="10" t="s">
        <v>19</v>
      </c>
      <c r="Q46" s="10">
        <f t="shared" si="6"/>
        <v>0</v>
      </c>
      <c r="R46" s="13" t="s">
        <v>21</v>
      </c>
      <c r="S46" s="10">
        <f t="shared" si="7"/>
        <v>0</v>
      </c>
      <c r="T46" s="13" t="s">
        <v>20</v>
      </c>
    </row>
    <row r="47" spans="1:20" x14ac:dyDescent="0.15">
      <c r="A47" s="1"/>
      <c r="B47" s="1"/>
      <c r="C47" s="1"/>
      <c r="D47" s="1"/>
      <c r="E47" s="5"/>
      <c r="F47" s="5"/>
      <c r="G47" s="5"/>
      <c r="H47" s="5"/>
      <c r="I47" s="5"/>
      <c r="J47" s="1"/>
    </row>
    <row r="48" spans="1:20" x14ac:dyDescent="0.15">
      <c r="A48" s="1"/>
      <c r="B48" s="1"/>
      <c r="C48" s="1"/>
      <c r="D48" s="1"/>
      <c r="E48" s="5"/>
      <c r="F48" s="5"/>
      <c r="G48" s="5"/>
      <c r="H48" s="5"/>
      <c r="I48" s="5"/>
      <c r="J48" s="1"/>
    </row>
    <row r="49" spans="1:10" x14ac:dyDescent="0.15">
      <c r="A49" s="1"/>
      <c r="B49" s="1"/>
      <c r="C49" s="1"/>
      <c r="D49" s="1"/>
      <c r="E49" s="5"/>
      <c r="F49" s="5"/>
      <c r="G49" s="5"/>
      <c r="H49" s="5"/>
      <c r="I49" s="5"/>
      <c r="J49" s="1"/>
    </row>
    <row r="50" spans="1:10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 x14ac:dyDescent="0.15">
      <c r="A51" s="1"/>
      <c r="B51" s="1"/>
      <c r="C51" s="1"/>
      <c r="D51" s="1"/>
      <c r="E51" s="1"/>
      <c r="F51" s="1"/>
      <c r="G51" s="1"/>
      <c r="H51" s="1"/>
      <c r="I51" s="1"/>
      <c r="J51" s="1"/>
    </row>
  </sheetData>
  <mergeCells count="39">
    <mergeCell ref="E46:G46"/>
    <mergeCell ref="H46:I46"/>
    <mergeCell ref="L31:T31"/>
    <mergeCell ref="E43:G43"/>
    <mergeCell ref="H43:I43"/>
    <mergeCell ref="E44:G44"/>
    <mergeCell ref="H44:I44"/>
    <mergeCell ref="E45:G45"/>
    <mergeCell ref="H45:I45"/>
    <mergeCell ref="E40:G40"/>
    <mergeCell ref="H40:I40"/>
    <mergeCell ref="E41:G41"/>
    <mergeCell ref="H41:I41"/>
    <mergeCell ref="E42:G42"/>
    <mergeCell ref="H42:I42"/>
    <mergeCell ref="E37:G37"/>
    <mergeCell ref="H37:I37"/>
    <mergeCell ref="E38:G38"/>
    <mergeCell ref="H38:I38"/>
    <mergeCell ref="E39:G39"/>
    <mergeCell ref="H39:I39"/>
    <mergeCell ref="E34:G34"/>
    <mergeCell ref="H34:I34"/>
    <mergeCell ref="E35:G35"/>
    <mergeCell ref="H35:I35"/>
    <mergeCell ref="E36:G36"/>
    <mergeCell ref="H36:I36"/>
    <mergeCell ref="E31:G31"/>
    <mergeCell ref="H31:I31"/>
    <mergeCell ref="E32:G32"/>
    <mergeCell ref="H32:I32"/>
    <mergeCell ref="E33:G33"/>
    <mergeCell ref="H33:I33"/>
    <mergeCell ref="B6:C6"/>
    <mergeCell ref="A1:B1"/>
    <mergeCell ref="C1:D1"/>
    <mergeCell ref="B3:C3"/>
    <mergeCell ref="B4:C4"/>
    <mergeCell ref="B5:C5"/>
  </mergeCells>
  <phoneticPr fontId="1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メイン</vt:lpstr>
      <vt:lpstr>テンプレ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2020-07-08T14:31:44Z</dcterms:modified>
</cp:coreProperties>
</file>